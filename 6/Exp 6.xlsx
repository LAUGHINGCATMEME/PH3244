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<sst xmlns="http://schemas.openxmlformats.org/spreadsheetml/2006/main" count="24" uniqueCount="19">
  <si>
    <t>lambda (nm)</t>
  </si>
  <si>
    <t>L (m)</t>
  </si>
  <si>
    <t>rho (Kg/m^3)</t>
  </si>
  <si>
    <t>mu (MHz)</t>
  </si>
  <si>
    <t>SI</t>
  </si>
  <si>
    <t>n</t>
  </si>
  <si>
    <t>distance (cm)</t>
  </si>
  <si>
    <t>leasat count (cm)</t>
  </si>
  <si>
    <t>Si distance</t>
  </si>
  <si>
    <t>Si uncertanty</t>
  </si>
  <si>
    <t>Velo</t>
  </si>
  <si>
    <t>unceertainty velo</t>
  </si>
  <si>
    <t>1 percent and 16 percent</t>
  </si>
  <si>
    <t>WITHGED MEAN</t>
  </si>
  <si>
    <t>UNC</t>
  </si>
  <si>
    <t>bulk (GPa)</t>
  </si>
  <si>
    <t>unc</t>
  </si>
  <si>
    <t>ciom (atm) (times 10^-6)</t>
  </si>
  <si>
    <t>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</si>
</sst>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38"/>
  </cols>
  <sheetData>
    <row r="1" ht="17.25" customHeight="1">
      <c r="A1" s="1" t="s">
        <v>0</v>
      </c>
      <c r="B1" s="1">
        <v>650.0</v>
      </c>
      <c r="C1" s="1">
        <f>10^-9</f>
        <v>0.000000001</v>
      </c>
      <c r="D1" s="2">
        <f t="shared" ref="D1:D4" si="1">B1*C1</f>
        <v>0.00000065</v>
      </c>
    </row>
    <row r="2">
      <c r="A2" s="1" t="s">
        <v>1</v>
      </c>
      <c r="B2" s="1">
        <v>2.86</v>
      </c>
      <c r="C2" s="1">
        <v>1.0</v>
      </c>
      <c r="D2" s="2">
        <f t="shared" si="1"/>
        <v>2.86</v>
      </c>
    </row>
    <row r="3">
      <c r="A3" s="1" t="s">
        <v>2</v>
      </c>
      <c r="B3" s="1">
        <v>998.0</v>
      </c>
      <c r="C3" s="1">
        <v>1.0</v>
      </c>
      <c r="D3" s="2">
        <f t="shared" si="1"/>
        <v>998</v>
      </c>
    </row>
    <row r="4">
      <c r="A4" s="1" t="s">
        <v>3</v>
      </c>
      <c r="B4" s="1">
        <v>3.25</v>
      </c>
      <c r="C4" s="2">
        <f>10^6</f>
        <v>1000000</v>
      </c>
      <c r="D4" s="2">
        <f t="shared" si="1"/>
        <v>3250000</v>
      </c>
    </row>
    <row r="5">
      <c r="D5" s="1" t="s">
        <v>4</v>
      </c>
    </row>
    <row r="7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</row>
    <row r="8">
      <c r="A8" s="1">
        <v>1.0</v>
      </c>
      <c r="B8" s="2">
        <f>0.9/2</f>
        <v>0.45</v>
      </c>
      <c r="C8" s="1">
        <v>0.05</v>
      </c>
      <c r="D8" s="2">
        <f t="shared" ref="D8:D11" si="2">B8/100</f>
        <v>0.0045</v>
      </c>
      <c r="E8" s="2">
        <f t="shared" ref="E8:E11" si="3">C8/100/SQRT(12)</f>
        <v>0.0001443375673</v>
      </c>
      <c r="F8" s="2">
        <f t="shared" ref="F8:F11" si="4">$D$4*A8*$D$1*((SQRT(D8^2+$D$2^2)/(D8)))</f>
        <v>1342.612773</v>
      </c>
      <c r="G8" s="2">
        <f t="shared" ref="G8:G11" si="5">-$D$4*A8*$D$1*(1/((SQRT(D8^2+$D$2^2))))+$D$4*A8*$D$1*((SQRT(D8^2+$D$2^2)/(D8^2)))*E8</f>
        <v>42.32568932</v>
      </c>
    </row>
    <row r="9">
      <c r="A9" s="1">
        <v>2.0</v>
      </c>
      <c r="B9" s="2">
        <f>1.7/2</f>
        <v>0.85</v>
      </c>
      <c r="C9" s="1">
        <v>0.05</v>
      </c>
      <c r="D9" s="2">
        <f t="shared" si="2"/>
        <v>0.0085</v>
      </c>
      <c r="E9" s="2">
        <f t="shared" si="3"/>
        <v>0.0001443375673</v>
      </c>
      <c r="F9" s="2">
        <f t="shared" si="4"/>
        <v>1421.594514</v>
      </c>
      <c r="G9" s="2">
        <f t="shared" si="5"/>
        <v>22.66267424</v>
      </c>
    </row>
    <row r="10">
      <c r="A10" s="1">
        <v>3.0</v>
      </c>
      <c r="B10" s="2">
        <f>1.3</f>
        <v>1.3</v>
      </c>
      <c r="C10" s="1">
        <v>0.1</v>
      </c>
      <c r="D10" s="2">
        <f t="shared" si="2"/>
        <v>0.013</v>
      </c>
      <c r="E10" s="2">
        <f t="shared" si="3"/>
        <v>0.0002886751346</v>
      </c>
      <c r="F10" s="2">
        <f t="shared" si="4"/>
        <v>1394.264403</v>
      </c>
      <c r="G10" s="2">
        <f t="shared" si="5"/>
        <v>28.74484182</v>
      </c>
    </row>
    <row r="11">
      <c r="A11" s="1">
        <v>4.0</v>
      </c>
      <c r="B11" s="2">
        <f>1.8</f>
        <v>1.8</v>
      </c>
      <c r="C11" s="1">
        <v>0.1</v>
      </c>
      <c r="D11" s="2">
        <f t="shared" si="2"/>
        <v>0.018</v>
      </c>
      <c r="E11" s="2">
        <f t="shared" si="3"/>
        <v>0.0002886751346</v>
      </c>
      <c r="F11" s="2">
        <f t="shared" si="4"/>
        <v>1342.637702</v>
      </c>
      <c r="G11" s="2">
        <f t="shared" si="5"/>
        <v>18.57807524</v>
      </c>
    </row>
    <row r="12">
      <c r="I12" s="1" t="s">
        <v>12</v>
      </c>
    </row>
    <row r="13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16</v>
      </c>
    </row>
    <row r="14">
      <c r="A14" s="2">
        <f>SUMPRODUCT(F8:F11,1/(G8:G11^2))/SUMPRODUCT(1/(G8:G11^2))</f>
        <v>1375.331772</v>
      </c>
      <c r="B14" s="2">
        <f>SQRT(1/SUMPRODUCT(1/(G8:G11^2)))</f>
        <v>12.29718062</v>
      </c>
      <c r="C14" s="2">
        <f>D3*A14^2/10^9</f>
        <v>1.887754409</v>
      </c>
      <c r="D14" s="2">
        <f>2*A14*D3*B14/10^9</f>
        <v>0.03375775561</v>
      </c>
      <c r="E14" s="2">
        <f>1/(D3*A14^2)/0.00000986923*10^6</f>
        <v>53.67489908</v>
      </c>
      <c r="F14" s="2">
        <f>2/(D3*A14^3)/0.00000986923*10^6</f>
        <v>0.07805374698</v>
      </c>
    </row>
    <row r="16">
      <c r="A16" s="1" t="s">
        <v>0</v>
      </c>
      <c r="B16" s="1">
        <v>650.0</v>
      </c>
      <c r="C16" s="1">
        <f>10^-9</f>
        <v>0.000000001</v>
      </c>
      <c r="D16" s="2">
        <f t="shared" ref="D16:D19" si="6">B16*C16</f>
        <v>0.00000065</v>
      </c>
    </row>
    <row r="17">
      <c r="A17" s="1" t="s">
        <v>1</v>
      </c>
      <c r="B17" s="1">
        <v>1.34</v>
      </c>
      <c r="C17" s="1">
        <v>1.0</v>
      </c>
      <c r="D17" s="2">
        <f t="shared" si="6"/>
        <v>1.34</v>
      </c>
    </row>
    <row r="18">
      <c r="A18" s="1" t="s">
        <v>2</v>
      </c>
      <c r="B18" s="1">
        <v>998.0</v>
      </c>
      <c r="C18" s="1">
        <v>1.0</v>
      </c>
      <c r="D18" s="2">
        <f t="shared" si="6"/>
        <v>998</v>
      </c>
    </row>
    <row r="19">
      <c r="A19" s="1" t="s">
        <v>3</v>
      </c>
      <c r="B19" s="1">
        <v>3.09</v>
      </c>
      <c r="C19" s="2">
        <f>10^6</f>
        <v>1000000</v>
      </c>
      <c r="D19" s="2">
        <f t="shared" si="6"/>
        <v>3090000</v>
      </c>
    </row>
    <row r="20">
      <c r="B20" s="1" t="s">
        <v>18</v>
      </c>
    </row>
    <row r="21">
      <c r="A21" s="1">
        <v>1.0</v>
      </c>
      <c r="B21" s="1">
        <v>1.98</v>
      </c>
      <c r="C21" s="1">
        <v>0.01</v>
      </c>
      <c r="D21" s="2">
        <f t="shared" ref="D21:D22" si="7">B21/1000</f>
        <v>0.00198</v>
      </c>
      <c r="E21" s="2">
        <f t="shared" ref="E21:E22" si="8">C21/1000/SQRT(12)</f>
        <v>0.000002886751346</v>
      </c>
      <c r="F21" s="2">
        <f t="shared" ref="F21:F22" si="9">$D$19*A21*$D$16*((SQRT(D21^2+$D$17^2)/(D21)))</f>
        <v>1359.289363</v>
      </c>
      <c r="G21" s="2">
        <f t="shared" ref="G21:G22" si="10">-$D$4*A21*$D$1*(1/((SQRT(D21^2+$D$2^2))))+$D$4*A21*$D$1*((SQRT(D21^2+$D$2^2)/(D21^2)))*E21</f>
        <v>3.710153254</v>
      </c>
    </row>
    <row r="22">
      <c r="A22" s="1">
        <v>2.0</v>
      </c>
      <c r="B22" s="1">
        <v>3.73</v>
      </c>
      <c r="C22" s="1">
        <v>0.01</v>
      </c>
      <c r="D22" s="2">
        <f t="shared" si="7"/>
        <v>0.00373</v>
      </c>
      <c r="E22" s="2">
        <f t="shared" si="8"/>
        <v>0.000002886751346</v>
      </c>
      <c r="F22" s="2">
        <f t="shared" si="9"/>
        <v>1443.110148</v>
      </c>
      <c r="G22" s="2">
        <f t="shared" si="10"/>
        <v>1.029904571</v>
      </c>
    </row>
  </sheetData>
  <drawing r:id="rId1"/>
</worksheet>
</file>